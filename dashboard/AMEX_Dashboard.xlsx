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v_projects_2\amex_campus_challenge\dashboard\"/>
    </mc:Choice>
  </mc:AlternateContent>
  <xr:revisionPtr revIDLastSave="0" documentId="13_ncr:1_{917AA080-5600-42D7-8103-82818E47511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 Executive Summary" sheetId="1" r:id="rId1"/>
    <sheet name=" Segment Analysis" sheetId="2" r:id="rId2"/>
    <sheet name=" Decile Breakdown" sheetId="3" r:id="rId3"/>
    <sheet name=" What-If Simulator" sheetId="4" r:id="rId4"/>
    <sheet name=" ML Mode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H9" i="4"/>
  <c r="G9" i="4"/>
  <c r="I8" i="4"/>
  <c r="H8" i="4"/>
  <c r="G8" i="4"/>
  <c r="I7" i="4"/>
  <c r="H7" i="4"/>
  <c r="G7" i="4"/>
  <c r="I6" i="4"/>
  <c r="H6" i="4"/>
  <c r="G6" i="4"/>
</calcChain>
</file>

<file path=xl/sharedStrings.xml><?xml version="1.0" encoding="utf-8"?>
<sst xmlns="http://schemas.openxmlformats.org/spreadsheetml/2006/main" count="192" uniqueCount="151">
  <si>
    <t>AMEX PREMIER CARD — PROFITABILITY DASHBOARD</t>
  </si>
  <si>
    <t>KEY PORTFOLIO METRICS</t>
  </si>
  <si>
    <t>Total Customers</t>
  </si>
  <si>
    <t>Top 20% Value Share</t>
  </si>
  <si>
    <t>Top 20% Avg Spend</t>
  </si>
  <si>
    <t>Bottom 80% Avg Spend</t>
  </si>
  <si>
    <t>Spend Lift Ratio</t>
  </si>
  <si>
    <t>ML Model AUC</t>
  </si>
  <si>
    <t>Avg Engagement (Top 20%)</t>
  </si>
  <si>
    <t>Collection Risk Rate</t>
  </si>
  <si>
    <t>Avg Supp Cards (Top 20%)</t>
  </si>
  <si>
    <t>Avg Default Prob (Top)</t>
  </si>
  <si>
    <t>500,000</t>
  </si>
  <si>
    <t>-21.4%</t>
  </si>
  <si>
    <t>$110,321</t>
  </si>
  <si>
    <t>$19,079</t>
  </si>
  <si>
    <t>5.78x</t>
  </si>
  <si>
    <t>1.000</t>
  </si>
  <si>
    <t>0.341</t>
  </si>
  <si>
    <t>0.0%</t>
  </si>
  <si>
    <t>1.78</t>
  </si>
  <si>
    <t>0.0102</t>
  </si>
  <si>
    <t>SEGMENT COMPARISON: TOP 20% vs BOTTOM 80%</t>
  </si>
  <si>
    <t>Segment</t>
  </si>
  <si>
    <t>Customers</t>
  </si>
  <si>
    <t>Avg Profit Score</t>
  </si>
  <si>
    <t>Total Portfolio Value</t>
  </si>
  <si>
    <t>Avg Spend</t>
  </si>
  <si>
    <t>Avg Revolving Bal</t>
  </si>
  <si>
    <t>Avg Rewards Bal</t>
  </si>
  <si>
    <t>Avg Default Prob</t>
  </si>
  <si>
    <t>Avg Engagement</t>
  </si>
  <si>
    <t>Avg Supp Cards</t>
  </si>
  <si>
    <t>Collection %</t>
  </si>
  <si>
    <t>Top 20%</t>
  </si>
  <si>
    <t>100,000</t>
  </si>
  <si>
    <t>$4,193.98</t>
  </si>
  <si>
    <t>$419,398,106</t>
  </si>
  <si>
    <t>$110,320.98</t>
  </si>
  <si>
    <t>$7,093.17</t>
  </si>
  <si>
    <t>$136,152</t>
  </si>
  <si>
    <t>0.3414</t>
  </si>
  <si>
    <t>0.00%</t>
  </si>
  <si>
    <t>Bottom 80%</t>
  </si>
  <si>
    <t>400,000</t>
  </si>
  <si>
    <t>$-5,951.84</t>
  </si>
  <si>
    <t>$-2,380,737,639</t>
  </si>
  <si>
    <t>$19,078.53</t>
  </si>
  <si>
    <t>$1,310.85</t>
  </si>
  <si>
    <t>$42,804</t>
  </si>
  <si>
    <t>0.0396</t>
  </si>
  <si>
    <t>0.3252</t>
  </si>
  <si>
    <t>1.81</t>
  </si>
  <si>
    <t>13.58%</t>
  </si>
  <si>
    <t>PORTFOLIO SEGMENT DEEP DIVE</t>
  </si>
  <si>
    <t>Total Value</t>
  </si>
  <si>
    <t>Top 20% (Most Profitable)</t>
  </si>
  <si>
    <t>PROFITABILITY DECILE BREAKDOWN (Decile 1 = Most Profitable)</t>
  </si>
  <si>
    <t>Decile</t>
  </si>
  <si>
    <t>Avg Score</t>
  </si>
  <si>
    <t>50,000</t>
  </si>
  <si>
    <t>$269,437,853</t>
  </si>
  <si>
    <t>$128,362.20</t>
  </si>
  <si>
    <t>$10,283.28</t>
  </si>
  <si>
    <t>0.3507</t>
  </si>
  <si>
    <t>$149,960,253</t>
  </si>
  <si>
    <t>$92,279.77</t>
  </si>
  <si>
    <t>$3,903.06</t>
  </si>
  <si>
    <t>0.3320</t>
  </si>
  <si>
    <t>$94,583,403</t>
  </si>
  <si>
    <t>$59,373.56</t>
  </si>
  <si>
    <t>$1,925.97</t>
  </si>
  <si>
    <t>0.3388</t>
  </si>
  <si>
    <t>$65,030,543</t>
  </si>
  <si>
    <t>$38,725.49</t>
  </si>
  <si>
    <t>$1,080.89</t>
  </si>
  <si>
    <t>0.3430</t>
  </si>
  <si>
    <t>$46,966,164</t>
  </si>
  <si>
    <t>$23,187.36</t>
  </si>
  <si>
    <t>$615.54</t>
  </si>
  <si>
    <t>0.3700</t>
  </si>
  <si>
    <t>$35,054,119</t>
  </si>
  <si>
    <t>$14,662.96</t>
  </si>
  <si>
    <t>$385.87</t>
  </si>
  <si>
    <t>0.3593</t>
  </si>
  <si>
    <t>$25,107,590</t>
  </si>
  <si>
    <t>$9,158.20</t>
  </si>
  <si>
    <t>$258.37</t>
  </si>
  <si>
    <t>0.3274</t>
  </si>
  <si>
    <t>$15,743,264</t>
  </si>
  <si>
    <t>$4,906.03</t>
  </si>
  <si>
    <t>$209.85</t>
  </si>
  <si>
    <t>0.2780</t>
  </si>
  <si>
    <t>$-194,025,084</t>
  </si>
  <si>
    <t>$2,433.30</t>
  </si>
  <si>
    <t>$2,115.52</t>
  </si>
  <si>
    <t>0.2676</t>
  </si>
  <si>
    <t>$-2,469,197,639</t>
  </si>
  <si>
    <t>$181.38</t>
  </si>
  <si>
    <t>$3,894.76</t>
  </si>
  <si>
    <t>0.3173</t>
  </si>
  <si>
    <t>EXECUTIVE SCENARIO SIMULATOR — Adjust yellow cells to model portfolio impact</t>
  </si>
  <si>
    <t>LEVERS (Edit Yellow Cells)</t>
  </si>
  <si>
    <t>PROJECTED PORTFOLIO IMPACT</t>
  </si>
  <si>
    <t>Annual Fee Increase ($)</t>
  </si>
  <si>
    <t>Metric</t>
  </si>
  <si>
    <t>Base (Current)</t>
  </si>
  <si>
    <t>Scenario</t>
  </si>
  <si>
    <t>Delta</t>
  </si>
  <si>
    <t>Delta %</t>
  </si>
  <si>
    <t>Interchange Rate Change (%)</t>
  </si>
  <si>
    <t>Annual Fee Revenue ($)</t>
  </si>
  <si>
    <t>$0</t>
  </si>
  <si>
    <t>Churn Reduction in Top 20% (%)</t>
  </si>
  <si>
    <t>Interchange Revenue Impact ($)</t>
  </si>
  <si>
    <t>$220,641,960</t>
  </si>
  <si>
    <t>New Supplementary Cards Acquired</t>
  </si>
  <si>
    <t>Retained Top 20% Revenue ($)</t>
  </si>
  <si>
    <t>$419,398,000</t>
  </si>
  <si>
    <t>Supplementary Card Revenue ($)</t>
  </si>
  <si>
    <t>$31,150,000</t>
  </si>
  <si>
    <t>HOW TO USE: Change the yellow input cells (C5:C8) to model different business scenarios.
Example: Set 'Annual Fee Increase' to 50 to see revenue impact of a $50 fee hike on top 20% customers.
Set 'Churn Reduction' to 5 to see impact of retaining an additional 5% of top-tier customers.</t>
  </si>
  <si>
    <t>MACHINE LEARNING MODEL — XGBoost Classifier Summary</t>
  </si>
  <si>
    <t>Algorithm</t>
  </si>
  <si>
    <t>XGBoost Classifier</t>
  </si>
  <si>
    <t>Task</t>
  </si>
  <si>
    <t>Binary Classification: Top 20% Profitable (1) vs Bottom 80% (0)</t>
  </si>
  <si>
    <t>Training Labels</t>
  </si>
  <si>
    <t>Generated by V13 Profitability Heuristic (Spearman rank = 0.906)</t>
  </si>
  <si>
    <t>ROC-AUC Score</t>
  </si>
  <si>
    <t>0.9999</t>
  </si>
  <si>
    <t>Interpretation</t>
  </si>
  <si>
    <t>Near-perfect AUC confirms heuristic labels are cleanly separable</t>
  </si>
  <si>
    <t>Key Features</t>
  </si>
  <si>
    <t>true_total_spend, f1 (revolving bal), f4 (rewards bal), f3 (collection flag)</t>
  </si>
  <si>
    <t>Training Set</t>
  </si>
  <si>
    <t>80% of 500K customers (400K rows)</t>
  </si>
  <si>
    <t>Test Set</t>
  </si>
  <si>
    <t>20% of 500K customers (100K rows)</t>
  </si>
  <si>
    <t>Class Imbalance Handling</t>
  </si>
  <si>
    <t>scale_pos_weight = 4.0 (80/20 class ratio)</t>
  </si>
  <si>
    <t>Hyperparameters</t>
  </si>
  <si>
    <t>n_estimators=500, max_depth=6, lr=0.05, subsample=0.8</t>
  </si>
  <si>
    <t>Output in BigQuery</t>
  </si>
  <si>
    <t>ml_predictions table: ml_top20_probability, ml_predicted_top20, ml_profitability_rank</t>
  </si>
  <si>
    <t>Business Use</t>
  </si>
  <si>
    <t>Score new customers at onboarding to predict top-20% potential</t>
  </si>
  <si>
    <t>Interview Note</t>
  </si>
  <si>
    <t>Data Source: Google BigQuery (amex_profitability dataset) | ML Model: XGBoost | Labels: V13 Heuristic | Pipeline: GCS - BigQuery - Python - Excel</t>
  </si>
  <si>
    <t>0.999 AUC reflects label reconstruction from a deterministic formula. Real world labels from actual profitability outcomes would yield 0.75 to 0.85 AUC, which is the operationally meaningful benchmark.</t>
  </si>
  <si>
    <r>
      <t xml:space="preserve">Cloud Native Pipeline: </t>
    </r>
    <r>
      <rPr>
        <i/>
        <u/>
        <sz val="10"/>
        <color rgb="FFC8972B"/>
        <rFont val="Calibri"/>
        <family val="2"/>
      </rPr>
      <t>GCS</t>
    </r>
    <r>
      <rPr>
        <i/>
        <sz val="10"/>
        <color rgb="FFC8972B"/>
        <rFont val="Calibri"/>
      </rPr>
      <t xml:space="preserve"> to </t>
    </r>
    <r>
      <rPr>
        <i/>
        <u/>
        <sz val="10"/>
        <color rgb="FFC8972B"/>
        <rFont val="Calibri"/>
        <family val="2"/>
      </rPr>
      <t>BigQuery</t>
    </r>
    <r>
      <rPr>
        <i/>
        <sz val="10"/>
        <color rgb="FFC8972B"/>
        <rFont val="Calibri"/>
      </rPr>
      <t xml:space="preserve"> to </t>
    </r>
    <r>
      <rPr>
        <i/>
        <u/>
        <sz val="10"/>
        <color rgb="FFC8972B"/>
        <rFont val="Calibri"/>
        <family val="2"/>
      </rPr>
      <t>XGBoost ML</t>
    </r>
    <r>
      <rPr>
        <i/>
        <sz val="10"/>
        <color rgb="FFC8972B"/>
        <rFont val="Calibri"/>
      </rPr>
      <t xml:space="preserve"> to </t>
    </r>
    <r>
      <rPr>
        <i/>
        <u/>
        <sz val="10"/>
        <color rgb="FFC8972B"/>
        <rFont val="Calibri"/>
        <family val="2"/>
      </rPr>
      <t>Power BI</t>
    </r>
    <r>
      <rPr>
        <i/>
        <sz val="10"/>
        <color rgb="FFC8972B"/>
        <rFont val="Calibri"/>
      </rPr>
      <t xml:space="preserve"> | Built with Google Cloud Platform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</si>
</sst>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C8972B"/>
      <name val="Calibri"/>
    </font>
    <font>
      <b/>
      <sz val="11"/>
      <color rgb="FFFFFFFF"/>
      <name val="Calibri"/>
    </font>
    <font>
      <b/>
      <sz val="9"/>
      <color rgb="FF4A4A4A"/>
      <name val="Calibri"/>
    </font>
    <font>
      <b/>
      <sz val="16"/>
      <color rgb="FF006FCF"/>
      <name val="Calibri"/>
    </font>
    <font>
      <b/>
      <sz val="16"/>
      <color rgb="FFC8972B"/>
      <name val="Calibri"/>
    </font>
    <font>
      <b/>
      <sz val="16"/>
      <color rgb="FF2E7D32"/>
      <name val="Calibri"/>
    </font>
    <font>
      <b/>
      <sz val="16"/>
      <color rgb="FF4A4A4A"/>
      <name val="Calibri"/>
    </font>
    <font>
      <b/>
      <sz val="16"/>
      <color rgb="FF003087"/>
      <name val="Calibri"/>
    </font>
    <font>
      <b/>
      <sz val="16"/>
      <color rgb="FFC62828"/>
      <name val="Calibri"/>
    </font>
    <font>
      <b/>
      <sz val="9"/>
      <color rgb="FFFFFFFF"/>
      <name val="Calibri"/>
    </font>
    <font>
      <b/>
      <sz val="10"/>
      <color rgb="FF003087"/>
      <name val="Calibri"/>
    </font>
    <font>
      <sz val="10"/>
      <color rgb="FF003087"/>
      <name val="Calibri"/>
    </font>
    <font>
      <i/>
      <sz val="8"/>
      <color rgb="FF888888"/>
      <name val="Calibri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2"/>
      <color rgb="FF003087"/>
      <name val="Calibri"/>
    </font>
    <font>
      <b/>
      <sz val="11"/>
      <color rgb="FF003087"/>
      <name val="Calibri"/>
    </font>
    <font>
      <i/>
      <sz val="9"/>
      <color rgb="FF4A4A4A"/>
      <name val="Calibri"/>
    </font>
    <font>
      <sz val="10"/>
      <color rgb="FF4A4A4A"/>
      <name val="Calibri"/>
    </font>
    <font>
      <i/>
      <u/>
      <sz val="10"/>
      <color rgb="FFC8972B"/>
      <name val="Calibri"/>
      <family val="2"/>
    </font>
    <font>
      <i/>
      <sz val="10"/>
      <color rgb="FFC8972B"/>
      <name val="Calibri"/>
      <family val="2"/>
    </font>
    <font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4A4A4A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6FCF"/>
      </patternFill>
    </fill>
    <fill>
      <patternFill patternType="solid">
        <fgColor rgb="FF003087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388E3C"/>
      </patternFill>
    </fill>
    <fill>
      <patternFill patternType="solid">
        <fgColor rgb="FF43A047"/>
      </patternFill>
    </fill>
    <fill>
      <patternFill patternType="solid">
        <fgColor rgb="FF66BB6A"/>
      </patternFill>
    </fill>
    <fill>
      <patternFill patternType="solid">
        <fgColor rgb="FFFFA726"/>
      </patternFill>
    </fill>
    <fill>
      <patternFill patternType="solid">
        <fgColor rgb="FFFB8C00"/>
      </patternFill>
    </fill>
    <fill>
      <patternFill patternType="solid">
        <fgColor rgb="FFF4511E"/>
      </patternFill>
    </fill>
    <fill>
      <patternFill patternType="solid">
        <fgColor rgb="FFE53935"/>
      </patternFill>
    </fill>
    <fill>
      <patternFill patternType="solid">
        <fgColor rgb="FFB71C1C"/>
      </patternFill>
    </fill>
    <fill>
      <patternFill patternType="solid">
        <fgColor rgb="FFC8972B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FFF9C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C8972B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1" fillId="18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2" fillId="19" borderId="1" xfId="0" applyFont="1" applyFill="1" applyBorder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22" fillId="20" borderId="0" xfId="0" applyFont="1" applyFill="1" applyAlignment="1">
      <alignment vertical="top" wrapText="1"/>
    </xf>
    <xf numFmtId="0" fontId="20" fillId="17" borderId="0" xfId="0" applyFont="1" applyFill="1" applyAlignment="1">
      <alignment horizontal="center" vertical="center" wrapText="1"/>
    </xf>
    <xf numFmtId="0" fontId="23" fillId="19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3" fillId="4" borderId="1" xfId="0" applyFont="1" applyFill="1" applyBorder="1" applyAlignment="1">
      <alignment horizontal="left" vertical="center" wrapText="1"/>
    </xf>
    <xf numFmtId="0" fontId="25" fillId="3" borderId="0" xfId="0" applyFont="1" applyFill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/>
    </xf>
    <xf numFmtId="4" fontId="28" fillId="7" borderId="1" xfId="0" applyNumberFormat="1" applyFont="1" applyFill="1" applyBorder="1" applyAlignment="1">
      <alignment horizontal="center" vertical="center"/>
    </xf>
    <xf numFmtId="4" fontId="19" fillId="8" borderId="1" xfId="0" applyNumberFormat="1" applyFont="1" applyFill="1" applyBorder="1" applyAlignment="1">
      <alignment horizontal="center" vertical="center"/>
    </xf>
    <xf numFmtId="4" fontId="19" fillId="9" borderId="1" xfId="0" applyNumberFormat="1" applyFont="1" applyFill="1" applyBorder="1" applyAlignment="1">
      <alignment horizontal="center" vertical="center"/>
    </xf>
    <xf numFmtId="4" fontId="19" fillId="10" borderId="1" xfId="0" applyNumberFormat="1" applyFont="1" applyFill="1" applyBorder="1" applyAlignment="1">
      <alignment horizontal="center" vertical="center"/>
    </xf>
    <xf numFmtId="4" fontId="19" fillId="15" borderId="1" xfId="0" applyNumberFormat="1" applyFont="1" applyFill="1" applyBorder="1" applyAlignment="1">
      <alignment horizontal="center" vertical="center"/>
    </xf>
    <xf numFmtId="4" fontId="19" fillId="16" borderId="1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Average Profitability Score by Decile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 Decile Breakdown'!$D$4</c:f>
              <c:strCache>
                <c:ptCount val="1"/>
                <c:pt idx="0">
                  <c:v>Avg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 Decile Breakdown'!$B$5:$B$14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 Decile Breakdown'!$D$5:$D$14</c:f>
              <c:numCache>
                <c:formatCode>#,##0.00</c:formatCode>
                <c:ptCount val="10"/>
                <c:pt idx="0">
                  <c:v>5388.76</c:v>
                </c:pt>
                <c:pt idx="1">
                  <c:v>2999.21</c:v>
                </c:pt>
                <c:pt idx="2">
                  <c:v>1891.67</c:v>
                </c:pt>
                <c:pt idx="3">
                  <c:v>1300.6099999999999</c:v>
                </c:pt>
                <c:pt idx="4" formatCode="General">
                  <c:v>939.32</c:v>
                </c:pt>
                <c:pt idx="5" formatCode="General">
                  <c:v>701.08</c:v>
                </c:pt>
                <c:pt idx="6" formatCode="General">
                  <c:v>502.15</c:v>
                </c:pt>
                <c:pt idx="7" formatCode="General">
                  <c:v>314.87</c:v>
                </c:pt>
                <c:pt idx="8">
                  <c:v>-3880.5</c:v>
                </c:pt>
                <c:pt idx="9">
                  <c:v>-49383.95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8-4127-A026-A37AA6542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Decile (1=Best)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Score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7"/>
  <sheetViews>
    <sheetView showGridLines="0" tabSelected="1" workbookViewId="0">
      <selection activeCell="G10" sqref="G10"/>
    </sheetView>
  </sheetViews>
  <sheetFormatPr defaultRowHeight="14.4" x14ac:dyDescent="0.3"/>
  <cols>
    <col min="1" max="1" width="3" customWidth="1"/>
    <col min="2" max="12" width="17" customWidth="1"/>
  </cols>
  <sheetData>
    <row r="2" spans="2:12" ht="30" customHeight="1" x14ac:dyDescent="0.3">
      <c r="B2" s="32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ht="30" customHeight="1" x14ac:dyDescent="0.3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2:12" ht="19.95" customHeight="1" x14ac:dyDescent="0.3">
      <c r="B4" s="42" t="s">
        <v>150</v>
      </c>
      <c r="C4" s="30"/>
      <c r="D4" s="30"/>
      <c r="E4" s="30"/>
      <c r="F4" s="30"/>
      <c r="G4" s="30"/>
      <c r="H4" s="30"/>
      <c r="I4" s="30"/>
      <c r="J4" s="30"/>
      <c r="K4" s="30"/>
      <c r="L4" s="30"/>
    </row>
    <row r="6" spans="2:12" ht="22.05" customHeight="1" x14ac:dyDescent="0.3">
      <c r="B6" s="31" t="s">
        <v>1</v>
      </c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2:12" ht="22.05" customHeight="1" x14ac:dyDescent="0.3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</row>
    <row r="8" spans="2:12" ht="37.950000000000003" customHeight="1" x14ac:dyDescent="0.3">
      <c r="B8" s="2" t="s">
        <v>12</v>
      </c>
      <c r="C8" s="3" t="s">
        <v>13</v>
      </c>
      <c r="D8" s="4" t="s">
        <v>14</v>
      </c>
      <c r="E8" s="5" t="s">
        <v>15</v>
      </c>
      <c r="F8" s="6" t="s">
        <v>16</v>
      </c>
      <c r="G8" s="4" t="s">
        <v>17</v>
      </c>
      <c r="H8" s="2" t="s">
        <v>18</v>
      </c>
      <c r="I8" s="7" t="s">
        <v>19</v>
      </c>
      <c r="J8" s="6" t="s">
        <v>20</v>
      </c>
      <c r="K8" s="6" t="s">
        <v>21</v>
      </c>
    </row>
    <row r="11" spans="2:12" ht="22.05" customHeight="1" x14ac:dyDescent="0.3">
      <c r="B11" s="31" t="s">
        <v>22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2:12" ht="30" customHeight="1" x14ac:dyDescent="0.3">
      <c r="B12" s="8" t="s">
        <v>23</v>
      </c>
      <c r="C12" s="8" t="s">
        <v>24</v>
      </c>
      <c r="D12" s="8" t="s">
        <v>25</v>
      </c>
      <c r="E12" s="8" t="s">
        <v>26</v>
      </c>
      <c r="F12" s="8" t="s">
        <v>27</v>
      </c>
      <c r="G12" s="8" t="s">
        <v>28</v>
      </c>
      <c r="H12" s="8" t="s">
        <v>29</v>
      </c>
      <c r="I12" s="8" t="s">
        <v>30</v>
      </c>
      <c r="J12" s="8" t="s">
        <v>31</v>
      </c>
      <c r="K12" s="8" t="s">
        <v>32</v>
      </c>
      <c r="L12" s="8" t="s">
        <v>33</v>
      </c>
    </row>
    <row r="13" spans="2:12" ht="22.05" customHeight="1" x14ac:dyDescent="0.3">
      <c r="B13" s="9" t="s">
        <v>34</v>
      </c>
      <c r="C13" s="9" t="s">
        <v>35</v>
      </c>
      <c r="D13" s="9" t="s">
        <v>36</v>
      </c>
      <c r="E13" s="9" t="s">
        <v>37</v>
      </c>
      <c r="F13" s="9" t="s">
        <v>38</v>
      </c>
      <c r="G13" s="9" t="s">
        <v>39</v>
      </c>
      <c r="H13" s="9" t="s">
        <v>40</v>
      </c>
      <c r="I13" s="9" t="s">
        <v>21</v>
      </c>
      <c r="J13" s="9" t="s">
        <v>41</v>
      </c>
      <c r="K13" s="9" t="s">
        <v>20</v>
      </c>
      <c r="L13" s="9" t="s">
        <v>42</v>
      </c>
    </row>
    <row r="14" spans="2:12" ht="22.05" customHeight="1" x14ac:dyDescent="0.3">
      <c r="B14" s="10" t="s">
        <v>43</v>
      </c>
      <c r="C14" s="10" t="s">
        <v>44</v>
      </c>
      <c r="D14" s="10" t="s">
        <v>45</v>
      </c>
      <c r="E14" s="10" t="s">
        <v>46</v>
      </c>
      <c r="F14" s="10" t="s">
        <v>47</v>
      </c>
      <c r="G14" s="10" t="s">
        <v>48</v>
      </c>
      <c r="H14" s="10" t="s">
        <v>49</v>
      </c>
      <c r="I14" s="10" t="s">
        <v>50</v>
      </c>
      <c r="J14" s="10" t="s">
        <v>51</v>
      </c>
      <c r="K14" s="10" t="s">
        <v>52</v>
      </c>
      <c r="L14" s="10" t="s">
        <v>53</v>
      </c>
    </row>
    <row r="17" spans="2:12" x14ac:dyDescent="0.3">
      <c r="B17" s="33" t="s">
        <v>148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</row>
  </sheetData>
  <mergeCells count="5">
    <mergeCell ref="B4:L4"/>
    <mergeCell ref="B6:L6"/>
    <mergeCell ref="B11:L11"/>
    <mergeCell ref="B2:L3"/>
    <mergeCell ref="B17:L17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"/>
  <sheetViews>
    <sheetView showGridLines="0" workbookViewId="0"/>
  </sheetViews>
  <sheetFormatPr defaultRowHeight="14.4" x14ac:dyDescent="0.3"/>
  <cols>
    <col min="1" max="1" width="3" customWidth="1"/>
    <col min="2" max="10" width="18" customWidth="1"/>
  </cols>
  <sheetData>
    <row r="2" spans="2:10" ht="28.05" customHeight="1" x14ac:dyDescent="0.3">
      <c r="B2" s="34" t="s">
        <v>54</v>
      </c>
      <c r="C2" s="30"/>
      <c r="D2" s="30"/>
      <c r="E2" s="30"/>
      <c r="F2" s="30"/>
      <c r="G2" s="30"/>
      <c r="H2" s="30"/>
      <c r="I2" s="30"/>
      <c r="J2" s="30"/>
    </row>
    <row r="4" spans="2:10" ht="30" customHeight="1" x14ac:dyDescent="0.3">
      <c r="B4" s="11" t="s">
        <v>23</v>
      </c>
      <c r="C4" s="11" t="s">
        <v>24</v>
      </c>
      <c r="D4" s="11" t="s">
        <v>25</v>
      </c>
      <c r="E4" s="11" t="s">
        <v>55</v>
      </c>
      <c r="F4" s="11" t="s">
        <v>27</v>
      </c>
      <c r="G4" s="11" t="s">
        <v>28</v>
      </c>
      <c r="H4" s="11" t="s">
        <v>30</v>
      </c>
      <c r="I4" s="11" t="s">
        <v>31</v>
      </c>
      <c r="J4" s="11" t="s">
        <v>33</v>
      </c>
    </row>
    <row r="5" spans="2:10" ht="22.05" customHeight="1" x14ac:dyDescent="0.3">
      <c r="B5" s="12" t="s">
        <v>56</v>
      </c>
      <c r="C5" s="12" t="s">
        <v>35</v>
      </c>
      <c r="D5" s="12" t="s">
        <v>36</v>
      </c>
      <c r="E5" s="12" t="s">
        <v>37</v>
      </c>
      <c r="F5" s="12" t="s">
        <v>38</v>
      </c>
      <c r="G5" s="12" t="s">
        <v>39</v>
      </c>
      <c r="H5" s="12" t="s">
        <v>21</v>
      </c>
      <c r="I5" s="12" t="s">
        <v>41</v>
      </c>
      <c r="J5" s="12" t="s">
        <v>42</v>
      </c>
    </row>
    <row r="6" spans="2:10" ht="22.05" customHeight="1" x14ac:dyDescent="0.3">
      <c r="B6" s="13" t="s">
        <v>43</v>
      </c>
      <c r="C6" s="13" t="s">
        <v>44</v>
      </c>
      <c r="D6" s="13" t="s">
        <v>45</v>
      </c>
      <c r="E6" s="13" t="s">
        <v>46</v>
      </c>
      <c r="F6" s="13" t="s">
        <v>47</v>
      </c>
      <c r="G6" s="13" t="s">
        <v>48</v>
      </c>
      <c r="H6" s="13" t="s">
        <v>50</v>
      </c>
      <c r="I6" s="13" t="s">
        <v>51</v>
      </c>
      <c r="J6" s="13" t="s">
        <v>53</v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4"/>
  <sheetViews>
    <sheetView showGridLines="0" workbookViewId="0">
      <selection activeCell="D14" sqref="D14"/>
    </sheetView>
  </sheetViews>
  <sheetFormatPr defaultRowHeight="14.4" x14ac:dyDescent="0.3"/>
  <cols>
    <col min="1" max="1" width="3" customWidth="1"/>
    <col min="2" max="8" width="18" customWidth="1"/>
  </cols>
  <sheetData>
    <row r="2" spans="2:8" ht="28.05" customHeight="1" x14ac:dyDescent="0.3">
      <c r="B2" s="34" t="s">
        <v>57</v>
      </c>
      <c r="C2" s="30"/>
      <c r="D2" s="30"/>
      <c r="E2" s="30"/>
      <c r="F2" s="30"/>
      <c r="G2" s="30"/>
      <c r="H2" s="30"/>
    </row>
    <row r="4" spans="2:8" ht="28.05" customHeight="1" x14ac:dyDescent="0.3">
      <c r="B4" s="11" t="s">
        <v>58</v>
      </c>
      <c r="C4" s="11" t="s">
        <v>24</v>
      </c>
      <c r="D4" s="43" t="s">
        <v>59</v>
      </c>
      <c r="E4" s="11" t="s">
        <v>55</v>
      </c>
      <c r="F4" s="11" t="s">
        <v>27</v>
      </c>
      <c r="G4" s="11" t="s">
        <v>28</v>
      </c>
      <c r="H4" s="11" t="s">
        <v>31</v>
      </c>
    </row>
    <row r="5" spans="2:8" ht="19.95" customHeight="1" x14ac:dyDescent="0.3">
      <c r="B5" s="14">
        <v>1</v>
      </c>
      <c r="C5" s="14" t="s">
        <v>60</v>
      </c>
      <c r="D5" s="45">
        <v>5388.76</v>
      </c>
      <c r="E5" s="14" t="s">
        <v>61</v>
      </c>
      <c r="F5" s="14" t="s">
        <v>62</v>
      </c>
      <c r="G5" s="14" t="s">
        <v>63</v>
      </c>
      <c r="H5" s="14" t="s">
        <v>64</v>
      </c>
    </row>
    <row r="6" spans="2:8" ht="19.95" customHeight="1" x14ac:dyDescent="0.3">
      <c r="B6" s="15">
        <v>2</v>
      </c>
      <c r="C6" s="15" t="s">
        <v>60</v>
      </c>
      <c r="D6" s="46">
        <v>2999.21</v>
      </c>
      <c r="E6" s="15" t="s">
        <v>65</v>
      </c>
      <c r="F6" s="15" t="s">
        <v>66</v>
      </c>
      <c r="G6" s="15" t="s">
        <v>67</v>
      </c>
      <c r="H6" s="15" t="s">
        <v>68</v>
      </c>
    </row>
    <row r="7" spans="2:8" ht="19.95" customHeight="1" x14ac:dyDescent="0.3">
      <c r="B7" s="16">
        <v>3</v>
      </c>
      <c r="C7" s="16" t="s">
        <v>60</v>
      </c>
      <c r="D7" s="47">
        <v>1891.67</v>
      </c>
      <c r="E7" s="16" t="s">
        <v>69</v>
      </c>
      <c r="F7" s="16" t="s">
        <v>70</v>
      </c>
      <c r="G7" s="16" t="s">
        <v>71</v>
      </c>
      <c r="H7" s="16" t="s">
        <v>72</v>
      </c>
    </row>
    <row r="8" spans="2:8" ht="19.95" customHeight="1" x14ac:dyDescent="0.3">
      <c r="B8" s="17">
        <v>4</v>
      </c>
      <c r="C8" s="17" t="s">
        <v>60</v>
      </c>
      <c r="D8" s="48">
        <v>1300.6099999999999</v>
      </c>
      <c r="E8" s="17" t="s">
        <v>73</v>
      </c>
      <c r="F8" s="17" t="s">
        <v>74</v>
      </c>
      <c r="G8" s="17" t="s">
        <v>75</v>
      </c>
      <c r="H8" s="17" t="s">
        <v>76</v>
      </c>
    </row>
    <row r="9" spans="2:8" ht="19.95" customHeight="1" x14ac:dyDescent="0.3">
      <c r="B9" s="18">
        <v>5</v>
      </c>
      <c r="C9" s="18" t="s">
        <v>60</v>
      </c>
      <c r="D9" s="18">
        <v>939.32</v>
      </c>
      <c r="E9" s="18" t="s">
        <v>77</v>
      </c>
      <c r="F9" s="18" t="s">
        <v>78</v>
      </c>
      <c r="G9" s="18" t="s">
        <v>79</v>
      </c>
      <c r="H9" s="18" t="s">
        <v>80</v>
      </c>
    </row>
    <row r="10" spans="2:8" ht="19.95" customHeight="1" x14ac:dyDescent="0.3">
      <c r="B10" s="19">
        <v>6</v>
      </c>
      <c r="C10" s="19" t="s">
        <v>60</v>
      </c>
      <c r="D10" s="44">
        <v>701.08</v>
      </c>
      <c r="E10" s="19" t="s">
        <v>81</v>
      </c>
      <c r="F10" s="19" t="s">
        <v>82</v>
      </c>
      <c r="G10" s="19" t="s">
        <v>83</v>
      </c>
      <c r="H10" s="19" t="s">
        <v>84</v>
      </c>
    </row>
    <row r="11" spans="2:8" ht="19.95" customHeight="1" x14ac:dyDescent="0.3">
      <c r="B11" s="20">
        <v>7</v>
      </c>
      <c r="C11" s="20" t="s">
        <v>60</v>
      </c>
      <c r="D11" s="20">
        <v>502.15</v>
      </c>
      <c r="E11" s="20" t="s">
        <v>85</v>
      </c>
      <c r="F11" s="20" t="s">
        <v>86</v>
      </c>
      <c r="G11" s="20" t="s">
        <v>87</v>
      </c>
      <c r="H11" s="20" t="s">
        <v>88</v>
      </c>
    </row>
    <row r="12" spans="2:8" ht="19.95" customHeight="1" x14ac:dyDescent="0.3">
      <c r="B12" s="21">
        <v>8</v>
      </c>
      <c r="C12" s="21" t="s">
        <v>60</v>
      </c>
      <c r="D12" s="21">
        <v>314.87</v>
      </c>
      <c r="E12" s="21" t="s">
        <v>89</v>
      </c>
      <c r="F12" s="21" t="s">
        <v>90</v>
      </c>
      <c r="G12" s="21" t="s">
        <v>91</v>
      </c>
      <c r="H12" s="21" t="s">
        <v>92</v>
      </c>
    </row>
    <row r="13" spans="2:8" ht="19.95" customHeight="1" x14ac:dyDescent="0.3">
      <c r="B13" s="22">
        <v>9</v>
      </c>
      <c r="C13" s="22" t="s">
        <v>60</v>
      </c>
      <c r="D13" s="49">
        <v>-3880.5</v>
      </c>
      <c r="E13" s="22" t="s">
        <v>93</v>
      </c>
      <c r="F13" s="22" t="s">
        <v>94</v>
      </c>
      <c r="G13" s="22" t="s">
        <v>95</v>
      </c>
      <c r="H13" s="22" t="s">
        <v>96</v>
      </c>
    </row>
    <row r="14" spans="2:8" ht="19.95" customHeight="1" x14ac:dyDescent="0.3">
      <c r="B14" s="23">
        <v>10</v>
      </c>
      <c r="C14" s="23" t="s">
        <v>60</v>
      </c>
      <c r="D14" s="50">
        <v>-49383.95</v>
      </c>
      <c r="E14" s="23" t="s">
        <v>97</v>
      </c>
      <c r="F14" s="23" t="s">
        <v>98</v>
      </c>
      <c r="G14" s="23" t="s">
        <v>99</v>
      </c>
      <c r="H14" s="23" t="s">
        <v>100</v>
      </c>
    </row>
  </sheetData>
  <mergeCells count="1">
    <mergeCell ref="B2:H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2"/>
  <sheetViews>
    <sheetView showGridLines="0" workbookViewId="0">
      <selection activeCell="C8" sqref="C8"/>
    </sheetView>
  </sheetViews>
  <sheetFormatPr defaultRowHeight="14.4" x14ac:dyDescent="0.3"/>
  <cols>
    <col min="1" max="1" width="3" customWidth="1"/>
    <col min="2" max="2" width="35" customWidth="1"/>
    <col min="3" max="3" width="18" customWidth="1"/>
    <col min="4" max="4" width="3" customWidth="1"/>
    <col min="5" max="9" width="20" customWidth="1"/>
  </cols>
  <sheetData>
    <row r="2" spans="2:10" ht="28.05" customHeight="1" x14ac:dyDescent="0.3">
      <c r="B2" s="37" t="s">
        <v>101</v>
      </c>
      <c r="C2" s="30"/>
      <c r="D2" s="30"/>
      <c r="E2" s="30"/>
      <c r="F2" s="30"/>
      <c r="G2" s="30"/>
      <c r="H2" s="30"/>
      <c r="I2" s="30"/>
      <c r="J2" s="30"/>
    </row>
    <row r="4" spans="2:10" ht="22.05" customHeight="1" x14ac:dyDescent="0.3">
      <c r="B4" s="35" t="s">
        <v>102</v>
      </c>
      <c r="C4" s="30"/>
      <c r="D4" s="30"/>
      <c r="E4" s="35" t="s">
        <v>103</v>
      </c>
      <c r="F4" s="30"/>
      <c r="G4" s="30"/>
      <c r="H4" s="30"/>
      <c r="I4" s="30"/>
      <c r="J4" s="30"/>
    </row>
    <row r="5" spans="2:10" ht="24" customHeight="1" x14ac:dyDescent="0.3">
      <c r="B5" s="24" t="s">
        <v>104</v>
      </c>
      <c r="C5" s="25">
        <v>21</v>
      </c>
      <c r="E5" s="8" t="s">
        <v>105</v>
      </c>
      <c r="F5" s="26" t="s">
        <v>106</v>
      </c>
      <c r="G5" s="26" t="s">
        <v>107</v>
      </c>
      <c r="H5" s="26" t="s">
        <v>108</v>
      </c>
      <c r="I5" s="26" t="s">
        <v>109</v>
      </c>
    </row>
    <row r="6" spans="2:10" ht="22.05" customHeight="1" x14ac:dyDescent="0.3">
      <c r="B6" s="24" t="s">
        <v>110</v>
      </c>
      <c r="C6" s="25">
        <v>3</v>
      </c>
      <c r="E6" s="13" t="s">
        <v>111</v>
      </c>
      <c r="F6" s="13" t="s">
        <v>112</v>
      </c>
      <c r="G6" s="13">
        <f>(100000)*C5</f>
        <v>2100000</v>
      </c>
      <c r="H6" s="13">
        <f>(100000)*C5-0</f>
        <v>2100000</v>
      </c>
      <c r="I6" s="13" t="str">
        <f>IF(0=0,"N/A",(100000)*C5/0-1)</f>
        <v>N/A</v>
      </c>
    </row>
    <row r="7" spans="2:10" ht="22.05" customHeight="1" x14ac:dyDescent="0.3">
      <c r="B7" s="24" t="s">
        <v>113</v>
      </c>
      <c r="C7" s="25">
        <v>2</v>
      </c>
      <c r="E7" s="27" t="s">
        <v>114</v>
      </c>
      <c r="F7" s="27" t="s">
        <v>115</v>
      </c>
      <c r="G7" s="27">
        <f>100000*110320.98*(0.02+C6/100)</f>
        <v>551604900</v>
      </c>
      <c r="H7" s="27">
        <f>100000*110320.98*C6/100</f>
        <v>330962940</v>
      </c>
      <c r="I7" s="27">
        <f>C6/2</f>
        <v>1.5</v>
      </c>
    </row>
    <row r="8" spans="2:10" ht="22.05" customHeight="1" x14ac:dyDescent="0.3">
      <c r="B8" s="24" t="s">
        <v>116</v>
      </c>
      <c r="C8" s="25">
        <v>2</v>
      </c>
      <c r="E8" s="13" t="s">
        <v>117</v>
      </c>
      <c r="F8" s="13" t="s">
        <v>118</v>
      </c>
      <c r="G8" s="13">
        <f>4193.98*100000*(1+C7/100)</f>
        <v>427785959.99999994</v>
      </c>
      <c r="H8" s="13">
        <f>4193.98*100000*C7/100</f>
        <v>8387959.9999999991</v>
      </c>
      <c r="I8" s="13">
        <f>C7</f>
        <v>2</v>
      </c>
    </row>
    <row r="9" spans="2:10" ht="22.05" customHeight="1" x14ac:dyDescent="0.3">
      <c r="E9" s="27" t="s">
        <v>119</v>
      </c>
      <c r="F9" s="27" t="s">
        <v>120</v>
      </c>
      <c r="G9" s="27">
        <f>100000*(1.78+C8/1000)*175</f>
        <v>31185000</v>
      </c>
      <c r="H9" s="27">
        <f>100000*C8/1000*175</f>
        <v>35000</v>
      </c>
      <c r="I9" s="27">
        <f>IF(31150000=0,"N/A",100000*C8/1000*175/31150000)</f>
        <v>1.1235955056179776E-3</v>
      </c>
    </row>
    <row r="10" spans="2:10" ht="19.95" customHeight="1" x14ac:dyDescent="0.3">
      <c r="B10" s="36" t="s">
        <v>121</v>
      </c>
      <c r="C10" s="30"/>
      <c r="D10" s="30"/>
      <c r="E10" s="30"/>
      <c r="F10" s="30"/>
      <c r="G10" s="30"/>
      <c r="H10" s="30"/>
      <c r="I10" s="30"/>
    </row>
    <row r="11" spans="2:10" ht="19.95" customHeight="1" x14ac:dyDescent="0.3">
      <c r="B11" s="30"/>
      <c r="C11" s="30"/>
      <c r="D11" s="30"/>
      <c r="E11" s="30"/>
      <c r="F11" s="30"/>
      <c r="G11" s="30"/>
      <c r="H11" s="30"/>
      <c r="I11" s="30"/>
    </row>
    <row r="12" spans="2:10" ht="19.95" customHeight="1" x14ac:dyDescent="0.3">
      <c r="B12" s="30"/>
      <c r="C12" s="30"/>
      <c r="D12" s="30"/>
      <c r="E12" s="30"/>
      <c r="F12" s="30"/>
      <c r="G12" s="30"/>
      <c r="H12" s="30"/>
      <c r="I12" s="30"/>
    </row>
  </sheetData>
  <mergeCells count="4">
    <mergeCell ref="E4:J4"/>
    <mergeCell ref="B4:D4"/>
    <mergeCell ref="B10:I12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6"/>
  <sheetViews>
    <sheetView showGridLines="0" workbookViewId="0">
      <selection activeCell="C13" sqref="C13:H13"/>
    </sheetView>
  </sheetViews>
  <sheetFormatPr defaultRowHeight="14.4" x14ac:dyDescent="0.3"/>
  <cols>
    <col min="1" max="1" width="3" customWidth="1"/>
    <col min="2" max="2" width="30" customWidth="1"/>
    <col min="3" max="3" width="80" customWidth="1"/>
  </cols>
  <sheetData>
    <row r="2" spans="2:8" ht="28.05" customHeight="1" x14ac:dyDescent="0.3">
      <c r="B2" s="34" t="s">
        <v>122</v>
      </c>
      <c r="C2" s="30"/>
      <c r="D2" s="30"/>
      <c r="E2" s="30"/>
      <c r="F2" s="30"/>
      <c r="G2" s="30"/>
      <c r="H2" s="30"/>
    </row>
    <row r="4" spans="2:8" ht="22.05" customHeight="1" x14ac:dyDescent="0.3">
      <c r="B4" s="28" t="s">
        <v>123</v>
      </c>
      <c r="C4" s="41" t="s">
        <v>124</v>
      </c>
      <c r="D4" s="39"/>
      <c r="E4" s="39"/>
      <c r="F4" s="39"/>
      <c r="G4" s="39"/>
      <c r="H4" s="40"/>
    </row>
    <row r="5" spans="2:8" ht="22.05" customHeight="1" x14ac:dyDescent="0.3">
      <c r="B5" s="29" t="s">
        <v>125</v>
      </c>
      <c r="C5" s="38" t="s">
        <v>126</v>
      </c>
      <c r="D5" s="39"/>
      <c r="E5" s="39"/>
      <c r="F5" s="39"/>
      <c r="G5" s="39"/>
      <c r="H5" s="40"/>
    </row>
    <row r="6" spans="2:8" ht="22.05" customHeight="1" x14ac:dyDescent="0.3">
      <c r="B6" s="28" t="s">
        <v>127</v>
      </c>
      <c r="C6" s="41" t="s">
        <v>128</v>
      </c>
      <c r="D6" s="39"/>
      <c r="E6" s="39"/>
      <c r="F6" s="39"/>
      <c r="G6" s="39"/>
      <c r="H6" s="40"/>
    </row>
    <row r="7" spans="2:8" ht="22.05" customHeight="1" x14ac:dyDescent="0.3">
      <c r="B7" s="29" t="s">
        <v>129</v>
      </c>
      <c r="C7" s="38" t="s">
        <v>130</v>
      </c>
      <c r="D7" s="39"/>
      <c r="E7" s="39"/>
      <c r="F7" s="39"/>
      <c r="G7" s="39"/>
      <c r="H7" s="40"/>
    </row>
    <row r="8" spans="2:8" ht="22.05" customHeight="1" x14ac:dyDescent="0.3">
      <c r="B8" s="28" t="s">
        <v>131</v>
      </c>
      <c r="C8" s="41" t="s">
        <v>132</v>
      </c>
      <c r="D8" s="39"/>
      <c r="E8" s="39"/>
      <c r="F8" s="39"/>
      <c r="G8" s="39"/>
      <c r="H8" s="40"/>
    </row>
    <row r="9" spans="2:8" ht="22.05" customHeight="1" x14ac:dyDescent="0.3">
      <c r="B9" s="29" t="s">
        <v>133</v>
      </c>
      <c r="C9" s="38" t="s">
        <v>134</v>
      </c>
      <c r="D9" s="39"/>
      <c r="E9" s="39"/>
      <c r="F9" s="39"/>
      <c r="G9" s="39"/>
      <c r="H9" s="40"/>
    </row>
    <row r="10" spans="2:8" ht="22.05" customHeight="1" x14ac:dyDescent="0.3">
      <c r="B10" s="28" t="s">
        <v>135</v>
      </c>
      <c r="C10" s="41" t="s">
        <v>136</v>
      </c>
      <c r="D10" s="39"/>
      <c r="E10" s="39"/>
      <c r="F10" s="39"/>
      <c r="G10" s="39"/>
      <c r="H10" s="40"/>
    </row>
    <row r="11" spans="2:8" ht="22.05" customHeight="1" x14ac:dyDescent="0.3">
      <c r="B11" s="29" t="s">
        <v>137</v>
      </c>
      <c r="C11" s="38" t="s">
        <v>138</v>
      </c>
      <c r="D11" s="39"/>
      <c r="E11" s="39"/>
      <c r="F11" s="39"/>
      <c r="G11" s="39"/>
      <c r="H11" s="40"/>
    </row>
    <row r="12" spans="2:8" ht="22.05" customHeight="1" x14ac:dyDescent="0.3">
      <c r="B12" s="28" t="s">
        <v>139</v>
      </c>
      <c r="C12" s="41" t="s">
        <v>140</v>
      </c>
      <c r="D12" s="39"/>
      <c r="E12" s="39"/>
      <c r="F12" s="39"/>
      <c r="G12" s="39"/>
      <c r="H12" s="40"/>
    </row>
    <row r="13" spans="2:8" ht="22.05" customHeight="1" x14ac:dyDescent="0.3">
      <c r="B13" s="29" t="s">
        <v>141</v>
      </c>
      <c r="C13" s="38" t="s">
        <v>142</v>
      </c>
      <c r="D13" s="39"/>
      <c r="E13" s="39"/>
      <c r="F13" s="39"/>
      <c r="G13" s="39"/>
      <c r="H13" s="40"/>
    </row>
    <row r="14" spans="2:8" ht="22.05" customHeight="1" x14ac:dyDescent="0.3">
      <c r="B14" s="28" t="s">
        <v>143</v>
      </c>
      <c r="C14" s="41" t="s">
        <v>144</v>
      </c>
      <c r="D14" s="39"/>
      <c r="E14" s="39"/>
      <c r="F14" s="39"/>
      <c r="G14" s="39"/>
      <c r="H14" s="40"/>
    </row>
    <row r="15" spans="2:8" ht="22.05" customHeight="1" x14ac:dyDescent="0.3">
      <c r="B15" s="29" t="s">
        <v>145</v>
      </c>
      <c r="C15" s="38" t="s">
        <v>146</v>
      </c>
      <c r="D15" s="39"/>
      <c r="E15" s="39"/>
      <c r="F15" s="39"/>
      <c r="G15" s="39"/>
      <c r="H15" s="40"/>
    </row>
    <row r="16" spans="2:8" ht="22.05" customHeight="1" x14ac:dyDescent="0.3">
      <c r="B16" s="28" t="s">
        <v>147</v>
      </c>
      <c r="C16" s="51" t="s">
        <v>149</v>
      </c>
      <c r="D16" s="39"/>
      <c r="E16" s="39"/>
      <c r="F16" s="39"/>
      <c r="G16" s="39"/>
      <c r="H16" s="40"/>
    </row>
  </sheetData>
  <mergeCells count="14">
    <mergeCell ref="C5:H5"/>
    <mergeCell ref="C13:H13"/>
    <mergeCell ref="C9:H9"/>
    <mergeCell ref="B2:H2"/>
    <mergeCell ref="C8:H8"/>
    <mergeCell ref="C4:H4"/>
    <mergeCell ref="C12:H12"/>
    <mergeCell ref="C7:H7"/>
    <mergeCell ref="C11:H11"/>
    <mergeCell ref="C6:H6"/>
    <mergeCell ref="C10:H10"/>
    <mergeCell ref="C16:H16"/>
    <mergeCell ref="C14:H14"/>
    <mergeCell ref="C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Executive Summary</vt:lpstr>
      <vt:lpstr> Segment Analysis</vt:lpstr>
      <vt:lpstr> Decile Breakdown</vt:lpstr>
      <vt:lpstr> What-If Simulator</vt:lpstr>
      <vt:lpstr> ML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Menaria</cp:lastModifiedBy>
  <dcterms:created xsi:type="dcterms:W3CDTF">2026-07-04T11:51:06Z</dcterms:created>
  <dcterms:modified xsi:type="dcterms:W3CDTF">2026-07-04T12:05:29Z</dcterms:modified>
</cp:coreProperties>
</file>